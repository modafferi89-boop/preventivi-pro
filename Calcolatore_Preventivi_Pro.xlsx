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PythonProject_calcola_preventivi_excel\"/>
    </mc:Choice>
  </mc:AlternateContent>
  <xr:revisionPtr revIDLastSave="0" documentId="13_ncr:1_{C536CAA3-EA08-400E-A828-42FC1EFE086A}" xr6:coauthVersionLast="47" xr6:coauthVersionMax="47" xr10:uidLastSave="{00000000-0000-0000-0000-000000000000}"/>
  <bookViews>
    <workbookView xWindow="14655" yWindow="75" windowWidth="14108" windowHeight="15083" xr2:uid="{00000000-000D-0000-FFFF-FFFF00000000}"/>
  </bookViews>
  <sheets>
    <sheet name="Preventivo e Margin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1" l="1"/>
  <c r="C24" i="1" s="1"/>
  <c r="C25" i="1" s="1"/>
  <c r="C27" i="1" s="1"/>
  <c r="C28" i="1" l="1"/>
  <c r="C29" i="1" s="1"/>
</calcChain>
</file>

<file path=xl/sharedStrings.xml><?xml version="1.0" encoding="utf-8"?>
<sst xmlns="http://schemas.openxmlformats.org/spreadsheetml/2006/main" count="38" uniqueCount="38">
  <si>
    <t>CALCOLATORE PREVENTIVI &amp; MARGINI</t>
  </si>
  <si>
    <t>DATI PROFESSIONISTA</t>
  </si>
  <si>
    <t>Professionista:</t>
  </si>
  <si>
    <t>Partita IVA:</t>
  </si>
  <si>
    <t>Inserisci P.IVA</t>
  </si>
  <si>
    <t>Contatti / Email:</t>
  </si>
  <si>
    <t>tuamail@email.com</t>
  </si>
  <si>
    <t>DATI CLIENTE E PROGETTO</t>
  </si>
  <si>
    <t>Cliente:</t>
  </si>
  <si>
    <t>Inserisci nome cliente</t>
  </si>
  <si>
    <t>Progetto:</t>
  </si>
  <si>
    <t>Nome del servizio o prodotto</t>
  </si>
  <si>
    <t>Data:</t>
  </si>
  <si>
    <t>GG/MM/AAAA</t>
  </si>
  <si>
    <t>Validità preventivo:</t>
  </si>
  <si>
    <t>30 giorni dalla data</t>
  </si>
  <si>
    <t>ANALISI COSTI E CALCOLO PREZZO</t>
  </si>
  <si>
    <t>Ore stimate di lavoro</t>
  </si>
  <si>
    <t>Costo orario (€)</t>
  </si>
  <si>
    <t>Costi vivi / Materiali (€)</t>
  </si>
  <si>
    <t>Margine di guadagno desiderato (%)</t>
  </si>
  <si>
    <t>RIEPILOGO PREVENTIVO</t>
  </si>
  <si>
    <t>Subtotale Lavorazione</t>
  </si>
  <si>
    <t>Utile Stimato</t>
  </si>
  <si>
    <t>Subtotale Complessivo</t>
  </si>
  <si>
    <t>Sconto applicato (%)</t>
  </si>
  <si>
    <t>Totale Imponibile</t>
  </si>
  <si>
    <t>IVA (22%)</t>
  </si>
  <si>
    <t>TOTALE COMPLESSIVO</t>
  </si>
  <si>
    <t>CONDIZIONI E TERMINI DI PAGAMENTO</t>
  </si>
  <si>
    <t>Modalità di pagamento:</t>
  </si>
  <si>
    <t>Bonifico Bancario</t>
  </si>
  <si>
    <t>Termini di pagamento:</t>
  </si>
  <si>
    <t>30% acconto, saldo a fine lavori</t>
  </si>
  <si>
    <t>Note / Consegna:</t>
  </si>
  <si>
    <t>Consegna prevista entro 15 giorni lavorativi</t>
  </si>
  <si>
    <t>Mario Rossi</t>
  </si>
  <si>
    <t>Recapito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</si>
</sst>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€"/>
    <numFmt numFmtId="170" formatCode="\+\3\9\ #"/>
  </numFmts>
  <fonts count="6" x14ac:knownFonts="1">
    <font>
      <sz val="11"/>
      <color theme="1"/>
      <name val="Calibri"/>
      <family val="2"/>
      <scheme val="minor"/>
    </font>
    <font>
      <b/>
      <sz val="16"/>
      <color rgb="FF1F497D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b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1" xfId="0" applyFont="1" applyBorder="1"/>
    <xf numFmtId="0" fontId="4" fillId="3" borderId="1" xfId="0" applyFont="1" applyFill="1" applyBorder="1"/>
    <xf numFmtId="3" fontId="4" fillId="3" borderId="1" xfId="0" applyNumberFormat="1" applyFont="1" applyFill="1" applyBorder="1"/>
    <xf numFmtId="164" fontId="4" fillId="3" borderId="1" xfId="0" applyNumberFormat="1" applyFont="1" applyFill="1" applyBorder="1"/>
    <xf numFmtId="9" fontId="4" fillId="3" borderId="1" xfId="0" applyNumberFormat="1" applyFont="1" applyFill="1" applyBorder="1"/>
    <xf numFmtId="164" fontId="4" fillId="0" borderId="1" xfId="0" applyNumberFormat="1" applyFont="1" applyBorder="1"/>
    <xf numFmtId="0" fontId="5" fillId="0" borderId="2" xfId="0" applyFont="1" applyBorder="1"/>
    <xf numFmtId="164" fontId="5" fillId="0" borderId="2" xfId="0" applyNumberFormat="1" applyFont="1" applyBorder="1"/>
    <xf numFmtId="0" fontId="2" fillId="2" borderId="0" xfId="0" applyFont="1" applyFill="1"/>
    <xf numFmtId="0" fontId="0" fillId="0" borderId="0" xfId="0"/>
    <xf numFmtId="170" fontId="4" fillId="3" borderId="1" xfId="0" applyNumberFormat="1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4"/>
  <sheetViews>
    <sheetView tabSelected="1" zoomScale="85" zoomScaleNormal="85" workbookViewId="0">
      <selection activeCell="F11" sqref="F11"/>
    </sheetView>
  </sheetViews>
  <sheetFormatPr defaultRowHeight="14.25" x14ac:dyDescent="0.45"/>
  <cols>
    <col min="1" max="1" width="4" customWidth="1"/>
    <col min="2" max="2" width="38" customWidth="1"/>
    <col min="3" max="3" width="25" customWidth="1"/>
  </cols>
  <sheetData>
    <row r="2" spans="2:4" ht="21" x14ac:dyDescent="0.65">
      <c r="B2" s="1" t="s">
        <v>0</v>
      </c>
    </row>
    <row r="4" spans="2:4" x14ac:dyDescent="0.45">
      <c r="B4" s="10" t="s">
        <v>1</v>
      </c>
      <c r="C4" s="11"/>
      <c r="D4" s="11"/>
    </row>
    <row r="5" spans="2:4" x14ac:dyDescent="0.45">
      <c r="B5" s="2" t="s">
        <v>2</v>
      </c>
      <c r="C5" s="3" t="s">
        <v>36</v>
      </c>
    </row>
    <row r="6" spans="2:4" x14ac:dyDescent="0.45">
      <c r="B6" s="2" t="s">
        <v>3</v>
      </c>
      <c r="C6" s="3" t="s">
        <v>4</v>
      </c>
    </row>
    <row r="7" spans="2:4" x14ac:dyDescent="0.45">
      <c r="B7" s="2" t="s">
        <v>37</v>
      </c>
      <c r="C7" s="12">
        <v>393334582365</v>
      </c>
    </row>
    <row r="8" spans="2:4" x14ac:dyDescent="0.45">
      <c r="B8" s="2" t="s">
        <v>5</v>
      </c>
      <c r="C8" s="3" t="s">
        <v>6</v>
      </c>
    </row>
    <row r="10" spans="2:4" x14ac:dyDescent="0.45">
      <c r="B10" s="10" t="s">
        <v>7</v>
      </c>
      <c r="C10" s="11"/>
      <c r="D10" s="11"/>
    </row>
    <row r="11" spans="2:4" x14ac:dyDescent="0.45">
      <c r="B11" s="2" t="s">
        <v>8</v>
      </c>
      <c r="C11" s="3" t="s">
        <v>9</v>
      </c>
    </row>
    <row r="12" spans="2:4" x14ac:dyDescent="0.45">
      <c r="B12" s="2" t="s">
        <v>10</v>
      </c>
      <c r="C12" s="3" t="s">
        <v>11</v>
      </c>
    </row>
    <row r="13" spans="2:4" x14ac:dyDescent="0.45">
      <c r="B13" s="2" t="s">
        <v>12</v>
      </c>
      <c r="C13" s="3" t="s">
        <v>13</v>
      </c>
    </row>
    <row r="14" spans="2:4" x14ac:dyDescent="0.45">
      <c r="B14" s="2" t="s">
        <v>14</v>
      </c>
      <c r="C14" s="3" t="s">
        <v>15</v>
      </c>
    </row>
    <row r="16" spans="2:4" x14ac:dyDescent="0.45">
      <c r="B16" s="10" t="s">
        <v>16</v>
      </c>
      <c r="C16" s="11"/>
      <c r="D16" s="11"/>
    </row>
    <row r="17" spans="2:4" x14ac:dyDescent="0.45">
      <c r="B17" s="2" t="s">
        <v>17</v>
      </c>
      <c r="C17" s="4">
        <v>15</v>
      </c>
    </row>
    <row r="18" spans="2:4" x14ac:dyDescent="0.45">
      <c r="B18" s="2" t="s">
        <v>18</v>
      </c>
      <c r="C18" s="5">
        <v>35</v>
      </c>
    </row>
    <row r="19" spans="2:4" x14ac:dyDescent="0.45">
      <c r="B19" s="2" t="s">
        <v>19</v>
      </c>
      <c r="C19" s="5">
        <v>50</v>
      </c>
    </row>
    <row r="20" spans="2:4" x14ac:dyDescent="0.45">
      <c r="B20" s="2" t="s">
        <v>20</v>
      </c>
      <c r="C20" s="6">
        <v>0.3</v>
      </c>
    </row>
    <row r="22" spans="2:4" x14ac:dyDescent="0.45">
      <c r="B22" s="10" t="s">
        <v>21</v>
      </c>
      <c r="C22" s="11"/>
      <c r="D22" s="11"/>
    </row>
    <row r="23" spans="2:4" x14ac:dyDescent="0.45">
      <c r="B23" s="2" t="s">
        <v>22</v>
      </c>
      <c r="C23" s="7">
        <f>(C17*C18)+C19</f>
        <v>575</v>
      </c>
    </row>
    <row r="24" spans="2:4" x14ac:dyDescent="0.45">
      <c r="B24" s="2" t="s">
        <v>23</v>
      </c>
      <c r="C24" s="7">
        <f>C23*C20</f>
        <v>172.5</v>
      </c>
    </row>
    <row r="25" spans="2:4" x14ac:dyDescent="0.45">
      <c r="B25" s="2" t="s">
        <v>24</v>
      </c>
      <c r="C25" s="7">
        <f>C23+C24</f>
        <v>747.5</v>
      </c>
    </row>
    <row r="26" spans="2:4" x14ac:dyDescent="0.45">
      <c r="B26" s="2" t="s">
        <v>25</v>
      </c>
      <c r="C26" s="6">
        <v>0</v>
      </c>
    </row>
    <row r="27" spans="2:4" x14ac:dyDescent="0.45">
      <c r="B27" s="2" t="s">
        <v>26</v>
      </c>
      <c r="C27" s="7">
        <f>C25*(1-C26)</f>
        <v>747.5</v>
      </c>
    </row>
    <row r="28" spans="2:4" x14ac:dyDescent="0.45">
      <c r="B28" s="2" t="s">
        <v>27</v>
      </c>
      <c r="C28" s="7">
        <f>C27*0.22</f>
        <v>164.45</v>
      </c>
    </row>
    <row r="29" spans="2:4" ht="15.75" x14ac:dyDescent="0.5">
      <c r="B29" s="8" t="s">
        <v>28</v>
      </c>
      <c r="C29" s="9">
        <f>C27+C28</f>
        <v>911.95</v>
      </c>
    </row>
    <row r="31" spans="2:4" x14ac:dyDescent="0.45">
      <c r="B31" s="10" t="s">
        <v>29</v>
      </c>
      <c r="C31" s="11"/>
      <c r="D31" s="11"/>
    </row>
    <row r="32" spans="2:4" x14ac:dyDescent="0.45">
      <c r="B32" s="2" t="s">
        <v>30</v>
      </c>
      <c r="C32" s="3" t="s">
        <v>31</v>
      </c>
    </row>
    <row r="33" spans="2:3" x14ac:dyDescent="0.45">
      <c r="B33" s="2" t="s">
        <v>32</v>
      </c>
      <c r="C33" s="3" t="s">
        <v>33</v>
      </c>
    </row>
    <row r="34" spans="2:3" x14ac:dyDescent="0.45">
      <c r="B34" s="2" t="s">
        <v>34</v>
      </c>
      <c r="C34" s="3" t="s">
        <v>35</v>
      </c>
    </row>
  </sheetData>
  <mergeCells count="5">
    <mergeCell ref="B4:D4"/>
    <mergeCell ref="B10:D10"/>
    <mergeCell ref="B31:D31"/>
    <mergeCell ref="B22:D22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Preventivo e Margini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Vincenzo Modafferi</cp:lastModifiedBy>
  <dcterms:created xsi:type="dcterms:W3CDTF">2026-09-29T17:08:10Z</dcterms:created>
  <dcterms:modified xsi:type="dcterms:W3CDTF">2026-09-29T17:20:03Z</dcterms:modified>
</cp:coreProperties>
</file>